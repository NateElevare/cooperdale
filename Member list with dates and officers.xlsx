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hil\Documents\Code\cooperDale\"/>
    </mc:Choice>
  </mc:AlternateContent>
  <xr:revisionPtr revIDLastSave="0" documentId="13_ncr:1_{38BA76D1-4C36-44A8-947F-4A73B8AA6CA0}" xr6:coauthVersionLast="47" xr6:coauthVersionMax="47" xr10:uidLastSave="{00000000-0000-0000-0000-000000000000}"/>
  <bookViews>
    <workbookView xWindow="-120" yWindow="-120" windowWidth="38640" windowHeight="21120" xr2:uid="{3A1112AB-5BED-A64A-BFD0-B8FBCAEBCCAD}"/>
  </bookViews>
  <sheets>
    <sheet name="Members" sheetId="1" r:id="rId1"/>
    <sheet name="Offic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2" l="1"/>
  <c r="C15" i="2"/>
  <c r="B15" i="2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<sst xmlns="http://schemas.openxmlformats.org/spreadsheetml/2006/main" count="181" uniqueCount="93">
  <si>
    <t>Name</t>
  </si>
  <si>
    <t>Inactive</t>
  </si>
  <si>
    <t>Date Joined</t>
  </si>
  <si>
    <t>By POF</t>
  </si>
  <si>
    <t>Date Removed</t>
  </si>
  <si>
    <t>Death</t>
  </si>
  <si>
    <t>Naz Trans</t>
  </si>
  <si>
    <t>Removal</t>
  </si>
  <si>
    <t>X</t>
  </si>
  <si>
    <t>Amy Berry's mother</t>
  </si>
  <si>
    <t>Going to a church in Dresden</t>
  </si>
  <si>
    <t>Other Denomination</t>
  </si>
  <si>
    <t>x</t>
  </si>
  <si>
    <t xml:space="preserve">X </t>
  </si>
  <si>
    <t>Left about 2020</t>
  </si>
  <si>
    <t>Worshiping with the Warsaw church 2022</t>
  </si>
  <si>
    <t>Office Title</t>
  </si>
  <si>
    <t>Nazarene Youth International</t>
  </si>
  <si>
    <t>Nazarene Missions International</t>
  </si>
  <si>
    <t>Nazarene Discipleship International</t>
  </si>
  <si>
    <t xml:space="preserve">Pastor </t>
  </si>
  <si>
    <t xml:space="preserve">Cooperdale Elected Officers </t>
  </si>
  <si>
    <t>Tom Starner not elected</t>
  </si>
  <si>
    <t>Silas Markel not elected</t>
  </si>
  <si>
    <t>Debra Roberts 1 year</t>
  </si>
  <si>
    <t>George Roberts 2 year</t>
  </si>
  <si>
    <t>Bonnie Billman 1 year</t>
  </si>
  <si>
    <t>Tim Billman 3 Year</t>
  </si>
  <si>
    <t>Connie Picket 2 year</t>
  </si>
  <si>
    <t>Naomi Phillips 3 year</t>
  </si>
  <si>
    <t>Linae Cox 2 year</t>
  </si>
  <si>
    <t>Elected 3 years</t>
  </si>
  <si>
    <t>Board Member 5 at large</t>
  </si>
  <si>
    <t>Mike Cox 2 years</t>
  </si>
  <si>
    <t>Elected 1/28/24 2 years</t>
  </si>
  <si>
    <t>Vote 4 years</t>
  </si>
  <si>
    <t>David Phillips Appointed 9/26/21</t>
  </si>
  <si>
    <t xml:space="preserve">Anderson Patricia </t>
  </si>
  <si>
    <t xml:space="preserve">Billman Nancy </t>
  </si>
  <si>
    <t xml:space="preserve">Bryant Cindy </t>
  </si>
  <si>
    <t xml:space="preserve">Burris Marcella (Micky) </t>
  </si>
  <si>
    <t xml:space="preserve">Burris Samatha </t>
  </si>
  <si>
    <t xml:space="preserve">Caynor Carol </t>
  </si>
  <si>
    <t xml:space="preserve">Geiger Ramona </t>
  </si>
  <si>
    <t xml:space="preserve">Howell Betty </t>
  </si>
  <si>
    <t xml:space="preserve">Mitchell Angie </t>
  </si>
  <si>
    <t xml:space="preserve">Pickett Connie </t>
  </si>
  <si>
    <t xml:space="preserve">Roberts Sarah </t>
  </si>
  <si>
    <t xml:space="preserve">Rowe Kathy </t>
  </si>
  <si>
    <t xml:space="preserve">Smith Sheena </t>
  </si>
  <si>
    <t xml:space="preserve">Ward Steven </t>
  </si>
  <si>
    <t xml:space="preserve">Donaker Jamie </t>
  </si>
  <si>
    <t xml:space="preserve">Mummey Dakota </t>
  </si>
  <si>
    <t>Alexander "Tilly" Martha</t>
  </si>
  <si>
    <t xml:space="preserve">Billman BT Bonnie </t>
  </si>
  <si>
    <t xml:space="preserve">Billman BT Tim </t>
  </si>
  <si>
    <t xml:space="preserve">Billman PS Steve </t>
  </si>
  <si>
    <t xml:space="preserve">Billman PS Penny </t>
  </si>
  <si>
    <t xml:space="preserve">Roberts DG Debra </t>
  </si>
  <si>
    <t xml:space="preserve">Roberts DG George </t>
  </si>
  <si>
    <t xml:space="preserve">Starner JT Janie </t>
  </si>
  <si>
    <t xml:space="preserve">Starner JT Tom </t>
  </si>
  <si>
    <t xml:space="preserve">Nethers TT Teresa </t>
  </si>
  <si>
    <t xml:space="preserve">Nethers TT Terry </t>
  </si>
  <si>
    <t xml:space="preserve">Mummey TD Dave </t>
  </si>
  <si>
    <t xml:space="preserve">Mummey TD Tami        </t>
  </si>
  <si>
    <t xml:space="preserve">Markel JS Judy </t>
  </si>
  <si>
    <t xml:space="preserve">Markel JS Silas </t>
  </si>
  <si>
    <t xml:space="preserve">Crabtree NA Aaron         </t>
  </si>
  <si>
    <t xml:space="preserve">Crabtree NA Nikki </t>
  </si>
  <si>
    <t xml:space="preserve">Cox LM Linae </t>
  </si>
  <si>
    <t xml:space="preserve">Cox LM Mike </t>
  </si>
  <si>
    <t xml:space="preserve">Brillhart RJ Jack </t>
  </si>
  <si>
    <t xml:space="preserve">Brillhart RJ Rose </t>
  </si>
  <si>
    <t xml:space="preserve">Berry AA Amy </t>
  </si>
  <si>
    <t xml:space="preserve">Berry AA Austin </t>
  </si>
  <si>
    <t xml:space="preserve"> </t>
  </si>
  <si>
    <t>Former treasurer left about 2021</t>
  </si>
  <si>
    <t>Underwood Cris</t>
  </si>
  <si>
    <t>McPhillen Beth</t>
  </si>
  <si>
    <t xml:space="preserve">Phillips DN Naomi </t>
  </si>
  <si>
    <t xml:space="preserve">Phillips DN Pastor David </t>
  </si>
  <si>
    <t>30 active members</t>
  </si>
  <si>
    <t>28 active members</t>
  </si>
  <si>
    <t>28 Active members</t>
  </si>
  <si>
    <t>Vote 2 years</t>
  </si>
  <si>
    <t>Annual 810.108</t>
  </si>
  <si>
    <t xml:space="preserve">Vote 2 years 811 Article V. </t>
  </si>
  <si>
    <t>4 votes</t>
  </si>
  <si>
    <t>3 votes</t>
  </si>
  <si>
    <t>6 votes</t>
  </si>
  <si>
    <t>Liz Cannon</t>
  </si>
  <si>
    <t>Chuck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</si>
</sst>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9AA4-BF46-A846-9675-8B76246F4D65}">
  <sheetPr>
    <pageSetUpPr fitToPage="1"/>
  </sheetPr>
  <dimension ref="A1:K48"/>
  <sheetViews>
    <sheetView tabSelected="1" zoomScale="150" zoomScaleNormal="15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H9" sqref="H9"/>
    </sheetView>
  </sheetViews>
  <sheetFormatPr defaultColWidth="11" defaultRowHeight="15.75" x14ac:dyDescent="0.25"/>
  <cols>
    <col min="1" max="1" width="7.625" style="1" customWidth="1"/>
    <col min="2" max="2" width="21.125" customWidth="1"/>
    <col min="3" max="4" width="10.875" style="1"/>
    <col min="5" max="5" width="13.375" style="1" customWidth="1"/>
    <col min="6" max="11" width="10.875" style="1"/>
  </cols>
  <sheetData>
    <row r="1" spans="1:11" ht="33" customHeight="1" x14ac:dyDescent="0.25">
      <c r="B1" t="s">
        <v>0</v>
      </c>
      <c r="C1" s="4" t="s">
        <v>2</v>
      </c>
      <c r="D1" s="4" t="s">
        <v>3</v>
      </c>
      <c r="E1" s="4" t="s">
        <v>11</v>
      </c>
      <c r="F1" s="4" t="s">
        <v>6</v>
      </c>
      <c r="G1" s="4" t="s">
        <v>1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B2" s="11" t="s">
        <v>44</v>
      </c>
      <c r="C2" s="1">
        <v>2019</v>
      </c>
      <c r="I2" s="1">
        <v>2022</v>
      </c>
    </row>
    <row r="3" spans="1:11" x14ac:dyDescent="0.25">
      <c r="B3" s="10" t="s">
        <v>53</v>
      </c>
      <c r="C3" s="1">
        <v>2019</v>
      </c>
      <c r="I3" s="1">
        <v>2023</v>
      </c>
    </row>
    <row r="4" spans="1:11" x14ac:dyDescent="0.25">
      <c r="A4" s="1">
        <f t="shared" ref="A4:A48" si="0">A3+1</f>
        <v>1</v>
      </c>
      <c r="B4" s="5" t="s">
        <v>74</v>
      </c>
      <c r="C4" s="3" t="s">
        <v>14</v>
      </c>
      <c r="E4" s="1" t="s">
        <v>12</v>
      </c>
      <c r="G4" s="1" t="s">
        <v>8</v>
      </c>
    </row>
    <row r="5" spans="1:11" x14ac:dyDescent="0.25">
      <c r="A5" s="1">
        <f t="shared" si="0"/>
        <v>2</v>
      </c>
      <c r="B5" s="5" t="s">
        <v>75</v>
      </c>
      <c r="C5" s="3" t="s">
        <v>14</v>
      </c>
      <c r="E5" s="1" t="s">
        <v>12</v>
      </c>
      <c r="G5" s="1" t="s">
        <v>8</v>
      </c>
    </row>
    <row r="6" spans="1:11" x14ac:dyDescent="0.25">
      <c r="A6" s="1">
        <f t="shared" si="0"/>
        <v>3</v>
      </c>
      <c r="B6" s="5" t="s">
        <v>68</v>
      </c>
      <c r="C6" s="1">
        <v>2019</v>
      </c>
      <c r="E6" s="1" t="s">
        <v>12</v>
      </c>
      <c r="G6" s="1" t="s">
        <v>12</v>
      </c>
    </row>
    <row r="7" spans="1:11" x14ac:dyDescent="0.25">
      <c r="A7" s="1">
        <f t="shared" si="0"/>
        <v>4</v>
      </c>
      <c r="B7" s="5" t="s">
        <v>69</v>
      </c>
      <c r="C7" s="1">
        <v>2019</v>
      </c>
      <c r="E7" s="1" t="s">
        <v>12</v>
      </c>
      <c r="G7" s="1" t="s">
        <v>12</v>
      </c>
    </row>
    <row r="8" spans="1:11" x14ac:dyDescent="0.25">
      <c r="A8" s="1">
        <f t="shared" si="0"/>
        <v>5</v>
      </c>
      <c r="B8" s="5" t="s">
        <v>66</v>
      </c>
      <c r="C8" s="1">
        <v>2019</v>
      </c>
      <c r="E8" s="1" t="s">
        <v>12</v>
      </c>
      <c r="G8" s="1" t="s">
        <v>12</v>
      </c>
    </row>
    <row r="9" spans="1:11" x14ac:dyDescent="0.25">
      <c r="A9" s="1">
        <f t="shared" si="0"/>
        <v>6</v>
      </c>
      <c r="B9" s="5" t="s">
        <v>67</v>
      </c>
      <c r="C9" s="1">
        <v>2019</v>
      </c>
      <c r="E9" s="1" t="s">
        <v>12</v>
      </c>
      <c r="G9" s="1" t="s">
        <v>12</v>
      </c>
    </row>
    <row r="10" spans="1:11" x14ac:dyDescent="0.25">
      <c r="A10" s="1">
        <f t="shared" si="0"/>
        <v>7</v>
      </c>
      <c r="B10" s="5" t="s">
        <v>45</v>
      </c>
      <c r="C10" s="3" t="s">
        <v>77</v>
      </c>
      <c r="F10" s="1" t="s">
        <v>12</v>
      </c>
      <c r="G10" s="1" t="s">
        <v>8</v>
      </c>
    </row>
    <row r="11" spans="1:11" x14ac:dyDescent="0.25">
      <c r="A11" s="1">
        <f t="shared" si="0"/>
        <v>8</v>
      </c>
      <c r="B11" s="5" t="s">
        <v>62</v>
      </c>
      <c r="C11" s="3" t="s">
        <v>10</v>
      </c>
      <c r="F11" s="1" t="s">
        <v>12</v>
      </c>
      <c r="G11" s="1" t="s">
        <v>8</v>
      </c>
    </row>
    <row r="12" spans="1:11" x14ac:dyDescent="0.25">
      <c r="A12" s="1">
        <f t="shared" si="0"/>
        <v>9</v>
      </c>
      <c r="B12" s="6" t="s">
        <v>63</v>
      </c>
      <c r="C12" s="3" t="s">
        <v>10</v>
      </c>
      <c r="F12" s="1" t="s">
        <v>12</v>
      </c>
      <c r="G12" s="1" t="s">
        <v>8</v>
      </c>
    </row>
    <row r="13" spans="1:11" x14ac:dyDescent="0.25">
      <c r="A13" s="1">
        <f t="shared" si="0"/>
        <v>10</v>
      </c>
      <c r="B13" s="5" t="s">
        <v>48</v>
      </c>
      <c r="C13" s="3" t="s">
        <v>9</v>
      </c>
      <c r="E13" s="1" t="s">
        <v>12</v>
      </c>
      <c r="G13" s="1" t="s">
        <v>8</v>
      </c>
    </row>
    <row r="14" spans="1:11" x14ac:dyDescent="0.25">
      <c r="A14" s="1">
        <f t="shared" si="0"/>
        <v>11</v>
      </c>
      <c r="B14" s="5" t="s">
        <v>50</v>
      </c>
      <c r="C14" s="3" t="s">
        <v>15</v>
      </c>
      <c r="F14" s="1" t="s">
        <v>12</v>
      </c>
      <c r="G14" s="1" t="s">
        <v>12</v>
      </c>
    </row>
    <row r="15" spans="1:11" x14ac:dyDescent="0.25">
      <c r="A15" s="1">
        <f t="shared" si="0"/>
        <v>12</v>
      </c>
      <c r="B15" t="s">
        <v>37</v>
      </c>
      <c r="C15" s="2">
        <v>44696</v>
      </c>
      <c r="E15" s="1" t="s">
        <v>8</v>
      </c>
    </row>
    <row r="16" spans="1:11" x14ac:dyDescent="0.25">
      <c r="A16" s="1">
        <f t="shared" si="0"/>
        <v>13</v>
      </c>
      <c r="B16" t="s">
        <v>54</v>
      </c>
      <c r="C16" s="7">
        <v>44562</v>
      </c>
      <c r="F16" s="1" t="s">
        <v>12</v>
      </c>
    </row>
    <row r="17" spans="1:6" x14ac:dyDescent="0.25">
      <c r="A17" s="1">
        <f t="shared" si="0"/>
        <v>14</v>
      </c>
      <c r="B17" t="s">
        <v>55</v>
      </c>
      <c r="C17" s="7">
        <v>44562</v>
      </c>
      <c r="F17" s="1" t="s">
        <v>12</v>
      </c>
    </row>
    <row r="18" spans="1:6" x14ac:dyDescent="0.25">
      <c r="A18" s="1">
        <f t="shared" si="0"/>
        <v>15</v>
      </c>
      <c r="B18" t="s">
        <v>38</v>
      </c>
      <c r="C18" s="1">
        <v>2019</v>
      </c>
      <c r="E18" s="1" t="s">
        <v>12</v>
      </c>
    </row>
    <row r="19" spans="1:6" x14ac:dyDescent="0.25">
      <c r="A19" s="1">
        <f t="shared" si="0"/>
        <v>16</v>
      </c>
      <c r="B19" t="s">
        <v>57</v>
      </c>
      <c r="C19" s="1">
        <v>2019</v>
      </c>
      <c r="E19" s="1" t="s">
        <v>12</v>
      </c>
    </row>
    <row r="20" spans="1:6" x14ac:dyDescent="0.25">
      <c r="A20" s="1">
        <f t="shared" si="0"/>
        <v>17</v>
      </c>
      <c r="B20" t="s">
        <v>56</v>
      </c>
      <c r="C20" s="1">
        <v>2019</v>
      </c>
      <c r="E20" s="1" t="s">
        <v>12</v>
      </c>
    </row>
    <row r="21" spans="1:6" x14ac:dyDescent="0.25">
      <c r="A21" s="1">
        <f t="shared" si="0"/>
        <v>18</v>
      </c>
      <c r="B21" t="s">
        <v>72</v>
      </c>
      <c r="C21" s="1">
        <v>2019</v>
      </c>
      <c r="E21" s="1" t="s">
        <v>12</v>
      </c>
    </row>
    <row r="22" spans="1:6" x14ac:dyDescent="0.25">
      <c r="A22" s="1">
        <f t="shared" si="0"/>
        <v>19</v>
      </c>
      <c r="B22" t="s">
        <v>73</v>
      </c>
      <c r="C22" s="1">
        <v>2019</v>
      </c>
      <c r="E22" s="1" t="s">
        <v>12</v>
      </c>
    </row>
    <row r="23" spans="1:6" x14ac:dyDescent="0.25">
      <c r="A23" s="1">
        <f t="shared" si="0"/>
        <v>20</v>
      </c>
      <c r="B23" t="s">
        <v>39</v>
      </c>
      <c r="C23" s="1">
        <v>2019</v>
      </c>
      <c r="E23" s="1" t="s">
        <v>12</v>
      </c>
    </row>
    <row r="24" spans="1:6" x14ac:dyDescent="0.25">
      <c r="A24" s="1">
        <f t="shared" si="0"/>
        <v>21</v>
      </c>
      <c r="B24" t="s">
        <v>40</v>
      </c>
      <c r="C24" s="7">
        <v>44696</v>
      </c>
      <c r="F24" s="1" t="s">
        <v>12</v>
      </c>
    </row>
    <row r="25" spans="1:6" x14ac:dyDescent="0.25">
      <c r="A25" s="1">
        <f t="shared" si="0"/>
        <v>22</v>
      </c>
      <c r="B25" t="s">
        <v>41</v>
      </c>
      <c r="C25" s="7">
        <v>44759</v>
      </c>
      <c r="D25" s="1" t="s">
        <v>13</v>
      </c>
    </row>
    <row r="26" spans="1:6" x14ac:dyDescent="0.25">
      <c r="A26" s="1">
        <f t="shared" si="0"/>
        <v>23</v>
      </c>
      <c r="B26" t="s">
        <v>42</v>
      </c>
      <c r="C26" s="1">
        <v>2019</v>
      </c>
      <c r="E26" s="1" t="s">
        <v>12</v>
      </c>
    </row>
    <row r="27" spans="1:6" x14ac:dyDescent="0.25">
      <c r="A27" s="1">
        <f t="shared" si="0"/>
        <v>24</v>
      </c>
      <c r="B27" t="s">
        <v>70</v>
      </c>
      <c r="C27" s="7">
        <v>44197</v>
      </c>
      <c r="F27" s="1" t="s">
        <v>12</v>
      </c>
    </row>
    <row r="28" spans="1:6" x14ac:dyDescent="0.25">
      <c r="A28" s="1">
        <f t="shared" si="0"/>
        <v>25</v>
      </c>
      <c r="B28" t="s">
        <v>71</v>
      </c>
      <c r="C28" s="7">
        <v>44197</v>
      </c>
      <c r="F28" s="1" t="s">
        <v>12</v>
      </c>
    </row>
    <row r="29" spans="1:6" x14ac:dyDescent="0.25">
      <c r="A29" s="1">
        <f t="shared" si="0"/>
        <v>26</v>
      </c>
      <c r="B29" t="s">
        <v>51</v>
      </c>
      <c r="C29" s="7">
        <v>45354</v>
      </c>
      <c r="D29" s="1" t="s">
        <v>13</v>
      </c>
    </row>
    <row r="30" spans="1:6" x14ac:dyDescent="0.25">
      <c r="A30" s="1">
        <f t="shared" si="0"/>
        <v>27</v>
      </c>
      <c r="B30" t="s">
        <v>43</v>
      </c>
      <c r="C30" s="1">
        <v>2019</v>
      </c>
      <c r="E30" s="1" t="s">
        <v>12</v>
      </c>
    </row>
    <row r="31" spans="1:6" x14ac:dyDescent="0.25">
      <c r="A31" s="1">
        <f t="shared" si="0"/>
        <v>28</v>
      </c>
      <c r="B31" t="s">
        <v>79</v>
      </c>
      <c r="C31" s="7">
        <v>45053</v>
      </c>
      <c r="E31" s="1" t="s">
        <v>12</v>
      </c>
    </row>
    <row r="32" spans="1:6" x14ac:dyDescent="0.25">
      <c r="A32" s="1">
        <f t="shared" si="0"/>
        <v>29</v>
      </c>
      <c r="B32" t="s">
        <v>52</v>
      </c>
      <c r="C32" s="7">
        <v>45249</v>
      </c>
      <c r="D32" s="1" t="s">
        <v>13</v>
      </c>
    </row>
    <row r="33" spans="1:6" x14ac:dyDescent="0.25">
      <c r="A33" s="1">
        <f t="shared" si="0"/>
        <v>30</v>
      </c>
      <c r="B33" t="s">
        <v>64</v>
      </c>
      <c r="C33" s="1">
        <v>2019</v>
      </c>
      <c r="E33" s="1" t="s">
        <v>12</v>
      </c>
    </row>
    <row r="34" spans="1:6" x14ac:dyDescent="0.25">
      <c r="A34" s="1">
        <f t="shared" si="0"/>
        <v>31</v>
      </c>
      <c r="B34" t="s">
        <v>65</v>
      </c>
      <c r="C34" s="1">
        <v>2019</v>
      </c>
      <c r="E34" s="1" t="s">
        <v>12</v>
      </c>
    </row>
    <row r="35" spans="1:6" x14ac:dyDescent="0.25">
      <c r="A35" s="1">
        <f t="shared" si="0"/>
        <v>32</v>
      </c>
      <c r="B35" t="s">
        <v>80</v>
      </c>
      <c r="C35" s="1">
        <v>2021</v>
      </c>
      <c r="F35" s="1" t="s">
        <v>8</v>
      </c>
    </row>
    <row r="36" spans="1:6" x14ac:dyDescent="0.25">
      <c r="A36" s="1">
        <f t="shared" si="0"/>
        <v>33</v>
      </c>
      <c r="B36" t="s">
        <v>81</v>
      </c>
      <c r="C36" s="1">
        <v>2021</v>
      </c>
      <c r="F36" s="1" t="s">
        <v>8</v>
      </c>
    </row>
    <row r="37" spans="1:6" x14ac:dyDescent="0.25">
      <c r="A37" s="1">
        <f t="shared" si="0"/>
        <v>34</v>
      </c>
      <c r="B37" t="s">
        <v>46</v>
      </c>
      <c r="C37" s="8">
        <v>2019</v>
      </c>
      <c r="E37" s="1" t="s">
        <v>12</v>
      </c>
    </row>
    <row r="38" spans="1:6" x14ac:dyDescent="0.25">
      <c r="A38" s="1">
        <f t="shared" si="0"/>
        <v>35</v>
      </c>
      <c r="B38" t="s">
        <v>58</v>
      </c>
      <c r="C38" s="1">
        <v>2015</v>
      </c>
      <c r="E38" s="1" t="s">
        <v>12</v>
      </c>
    </row>
    <row r="39" spans="1:6" x14ac:dyDescent="0.25">
      <c r="A39" s="1">
        <f t="shared" si="0"/>
        <v>36</v>
      </c>
      <c r="B39" t="s">
        <v>59</v>
      </c>
      <c r="C39" s="1">
        <v>2015</v>
      </c>
      <c r="E39" s="1" t="s">
        <v>12</v>
      </c>
    </row>
    <row r="40" spans="1:6" x14ac:dyDescent="0.25">
      <c r="A40" s="1">
        <f t="shared" si="0"/>
        <v>37</v>
      </c>
      <c r="B40" t="s">
        <v>47</v>
      </c>
      <c r="C40" s="1">
        <v>2015</v>
      </c>
      <c r="E40" s="1" t="s">
        <v>12</v>
      </c>
    </row>
    <row r="41" spans="1:6" x14ac:dyDescent="0.25">
      <c r="A41" s="1">
        <f t="shared" si="0"/>
        <v>38</v>
      </c>
      <c r="B41" t="s">
        <v>49</v>
      </c>
      <c r="C41" s="1">
        <v>2020</v>
      </c>
      <c r="D41" s="1" t="s">
        <v>13</v>
      </c>
    </row>
    <row r="42" spans="1:6" x14ac:dyDescent="0.25">
      <c r="A42" s="1">
        <f t="shared" si="0"/>
        <v>39</v>
      </c>
      <c r="B42" t="s">
        <v>60</v>
      </c>
      <c r="C42" s="1">
        <v>2019</v>
      </c>
      <c r="E42" s="1" t="s">
        <v>12</v>
      </c>
    </row>
    <row r="43" spans="1:6" x14ac:dyDescent="0.25">
      <c r="A43" s="1">
        <f t="shared" si="0"/>
        <v>40</v>
      </c>
      <c r="B43" t="s">
        <v>61</v>
      </c>
      <c r="C43" s="1">
        <v>2019</v>
      </c>
      <c r="E43" s="1" t="s">
        <v>12</v>
      </c>
    </row>
    <row r="44" spans="1:6" x14ac:dyDescent="0.25">
      <c r="A44" s="1">
        <f t="shared" si="0"/>
        <v>41</v>
      </c>
      <c r="B44" t="s">
        <v>78</v>
      </c>
      <c r="C44" s="7">
        <v>45053</v>
      </c>
      <c r="E44" s="1" t="s">
        <v>12</v>
      </c>
    </row>
    <row r="45" spans="1:6" x14ac:dyDescent="0.25">
      <c r="A45" s="1">
        <f t="shared" si="0"/>
        <v>42</v>
      </c>
      <c r="B45" t="s">
        <v>91</v>
      </c>
      <c r="C45" s="7">
        <v>45536</v>
      </c>
      <c r="E45" s="1" t="s">
        <v>12</v>
      </c>
    </row>
    <row r="46" spans="1:6" x14ac:dyDescent="0.25">
      <c r="A46" s="1">
        <f t="shared" si="0"/>
        <v>43</v>
      </c>
      <c r="B46" t="s">
        <v>92</v>
      </c>
      <c r="C46" s="7">
        <v>45536</v>
      </c>
      <c r="E46" s="1" t="s">
        <v>12</v>
      </c>
    </row>
    <row r="47" spans="1:6" x14ac:dyDescent="0.25">
      <c r="A47" s="1">
        <f t="shared" si="0"/>
        <v>44</v>
      </c>
    </row>
    <row r="48" spans="1:6" x14ac:dyDescent="0.25">
      <c r="A48" s="1">
        <f t="shared" si="0"/>
        <v>45</v>
      </c>
    </row>
  </sheetData>
  <sortState xmlns:xlrd2="http://schemas.microsoft.com/office/spreadsheetml/2017/richdata2" ref="A2:K44">
    <sortCondition ref="I2:I44"/>
    <sortCondition ref="G2:G44"/>
    <sortCondition ref="B2:B44"/>
  </sortState>
  <pageMargins left="0.7" right="0.7" top="0.75" bottom="0.75" header="0.3" footer="0.3"/>
  <pageSetup scale="89" fitToHeight="2" orientation="landscape" horizontalDpi="0" verticalDpi="0" copies="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3CF4-A251-CF43-B573-C9233CD4C9E9}">
  <dimension ref="A1:J15"/>
  <sheetViews>
    <sheetView zoomScale="160" zoomScaleNormal="16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defaultColWidth="11" defaultRowHeight="15.75" x14ac:dyDescent="0.25"/>
  <cols>
    <col min="1" max="1" width="36" customWidth="1"/>
    <col min="2" max="2" width="24.625" customWidth="1"/>
    <col min="3" max="3" width="16.875" customWidth="1"/>
    <col min="4" max="4" width="15.625" customWidth="1"/>
    <col min="5" max="5" width="14" customWidth="1"/>
    <col min="6" max="6" width="14.125" customWidth="1"/>
    <col min="7" max="7" width="14.375" customWidth="1"/>
    <col min="8" max="8" width="13.375" customWidth="1"/>
  </cols>
  <sheetData>
    <row r="1" spans="1:10" x14ac:dyDescent="0.25">
      <c r="A1" t="s">
        <v>21</v>
      </c>
      <c r="B1" t="s">
        <v>0</v>
      </c>
      <c r="D1" t="s">
        <v>88</v>
      </c>
      <c r="E1" t="s">
        <v>89</v>
      </c>
      <c r="F1" t="s">
        <v>90</v>
      </c>
      <c r="G1" t="s">
        <v>89</v>
      </c>
      <c r="H1" t="s">
        <v>90</v>
      </c>
    </row>
    <row r="2" spans="1:10" x14ac:dyDescent="0.25">
      <c r="B2" t="s">
        <v>84</v>
      </c>
      <c r="C2" t="s">
        <v>83</v>
      </c>
      <c r="D2" t="s">
        <v>82</v>
      </c>
    </row>
    <row r="3" spans="1:10" x14ac:dyDescent="0.25">
      <c r="A3" t="s">
        <v>16</v>
      </c>
      <c r="B3">
        <v>2022</v>
      </c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</row>
    <row r="4" spans="1:10" x14ac:dyDescent="0.25">
      <c r="A4" t="s">
        <v>32</v>
      </c>
      <c r="B4" t="s">
        <v>26</v>
      </c>
      <c r="C4" s="9" t="s">
        <v>31</v>
      </c>
      <c r="F4" s="12" t="s">
        <v>85</v>
      </c>
      <c r="H4" s="12" t="s">
        <v>85</v>
      </c>
    </row>
    <row r="5" spans="1:10" x14ac:dyDescent="0.25">
      <c r="A5" t="s">
        <v>32</v>
      </c>
      <c r="B5" t="s">
        <v>27</v>
      </c>
      <c r="D5" s="12" t="s">
        <v>85</v>
      </c>
      <c r="F5" s="12" t="s">
        <v>85</v>
      </c>
      <c r="H5" s="12" t="s">
        <v>85</v>
      </c>
    </row>
    <row r="6" spans="1:10" x14ac:dyDescent="0.25">
      <c r="A6" t="s">
        <v>32</v>
      </c>
      <c r="B6" t="s">
        <v>33</v>
      </c>
      <c r="D6" s="12" t="s">
        <v>85</v>
      </c>
      <c r="F6" s="12" t="s">
        <v>85</v>
      </c>
      <c r="H6" s="12" t="s">
        <v>85</v>
      </c>
    </row>
    <row r="7" spans="1:10" x14ac:dyDescent="0.25">
      <c r="A7" t="s">
        <v>32</v>
      </c>
      <c r="B7" t="s">
        <v>25</v>
      </c>
      <c r="D7" s="12" t="s">
        <v>85</v>
      </c>
      <c r="E7" t="s">
        <v>76</v>
      </c>
      <c r="F7" s="12" t="s">
        <v>85</v>
      </c>
      <c r="H7" s="12" t="s">
        <v>85</v>
      </c>
    </row>
    <row r="8" spans="1:10" x14ac:dyDescent="0.25">
      <c r="A8" t="s">
        <v>32</v>
      </c>
      <c r="B8" t="s">
        <v>24</v>
      </c>
      <c r="C8" s="9" t="s">
        <v>31</v>
      </c>
      <c r="F8" s="12" t="s">
        <v>85</v>
      </c>
      <c r="H8" s="12" t="s">
        <v>85</v>
      </c>
    </row>
    <row r="9" spans="1:10" x14ac:dyDescent="0.25">
      <c r="A9" t="s">
        <v>32</v>
      </c>
      <c r="B9" t="s">
        <v>22</v>
      </c>
    </row>
    <row r="10" spans="1:10" x14ac:dyDescent="0.25">
      <c r="A10" t="s">
        <v>32</v>
      </c>
      <c r="B10" t="s">
        <v>23</v>
      </c>
    </row>
    <row r="11" spans="1:10" x14ac:dyDescent="0.25">
      <c r="A11" t="s">
        <v>17</v>
      </c>
      <c r="B11" t="s">
        <v>28</v>
      </c>
      <c r="D11" s="12" t="s">
        <v>86</v>
      </c>
      <c r="E11" s="12" t="s">
        <v>86</v>
      </c>
      <c r="F11" s="12" t="s">
        <v>86</v>
      </c>
      <c r="G11" s="12" t="s">
        <v>86</v>
      </c>
      <c r="H11" s="12" t="s">
        <v>86</v>
      </c>
      <c r="I11" s="12" t="s">
        <v>86</v>
      </c>
      <c r="J11" s="12" t="s">
        <v>86</v>
      </c>
    </row>
    <row r="12" spans="1:10" x14ac:dyDescent="0.25">
      <c r="A12" t="s">
        <v>18</v>
      </c>
      <c r="B12" t="s">
        <v>29</v>
      </c>
      <c r="E12" s="12" t="s">
        <v>87</v>
      </c>
      <c r="G12" s="12" t="s">
        <v>85</v>
      </c>
      <c r="I12" s="12" t="s">
        <v>85</v>
      </c>
    </row>
    <row r="13" spans="1:10" x14ac:dyDescent="0.25">
      <c r="A13" t="s">
        <v>19</v>
      </c>
      <c r="B13" t="s">
        <v>30</v>
      </c>
      <c r="D13" s="12" t="s">
        <v>85</v>
      </c>
      <c r="F13" s="12" t="s">
        <v>85</v>
      </c>
      <c r="H13" s="12" t="s">
        <v>85</v>
      </c>
    </row>
    <row r="14" spans="1:10" x14ac:dyDescent="0.25">
      <c r="A14" t="s">
        <v>20</v>
      </c>
      <c r="B14" t="s">
        <v>36</v>
      </c>
      <c r="D14" t="s">
        <v>34</v>
      </c>
      <c r="F14" s="12" t="s">
        <v>35</v>
      </c>
      <c r="I14" s="12" t="s">
        <v>35</v>
      </c>
    </row>
    <row r="15" spans="1:10" x14ac:dyDescent="0.25">
      <c r="B15" s="13">
        <f>9/28</f>
        <v>0.32142857142857145</v>
      </c>
      <c r="C15" s="13">
        <f>9/28</f>
        <v>0.32142857142857145</v>
      </c>
      <c r="D15" s="13">
        <f>9/30</f>
        <v>0.3</v>
      </c>
      <c r="E15" s="1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Officers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Nathanael Phillips</cp:lastModifiedBy>
  <cp:lastPrinted>2023-04-18T21:36:11Z</cp:lastPrinted>
  <dcterms:created xsi:type="dcterms:W3CDTF">2022-05-16T21:27:23Z</dcterms:created>
  <dcterms:modified xsi:type="dcterms:W3CDTF">2026-04-17T18:24:15Z</dcterms:modified>
</cp:coreProperties>
</file>